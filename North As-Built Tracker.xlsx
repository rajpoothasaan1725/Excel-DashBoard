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asaan.shafeeq\Downloads\"/>
    </mc:Choice>
  </mc:AlternateContent>
  <xr:revisionPtr revIDLastSave="0" documentId="13_ncr:1_{D1E08D99-A70D-4323-ABBA-CFA6AA2A61F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istribution" sheetId="1" r:id="rId1"/>
    <sheet name="Feeder" sheetId="2" r:id="rId2"/>
  </sheets>
  <definedNames>
    <definedName name="_xlnm._FilterDatabase" localSheetId="0" hidden="1">Distribution!$A$1:$F$1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3" i="2"/>
  <c r="E4" i="2"/>
  <c r="E5" i="2"/>
  <c r="E6" i="2"/>
  <c r="E2" i="2"/>
  <c r="E3" i="1"/>
  <c r="E2" i="1"/>
  <c r="E13" i="1"/>
  <c r="E12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<sst xmlns="http://schemas.openxmlformats.org/spreadsheetml/2006/main" count="84" uniqueCount="46">
  <si>
    <t>Percentage of Work Completed</t>
  </si>
  <si>
    <t>Status</t>
  </si>
  <si>
    <t>Bahria Ph 7 POP Ring Project</t>
  </si>
  <si>
    <t>Updated</t>
  </si>
  <si>
    <t>DHA -CSC POP to Bahria  8 POP Via Sereen City (BH 7)</t>
  </si>
  <si>
    <t>Railway Back Haul</t>
  </si>
  <si>
    <t>Not Updated</t>
  </si>
  <si>
    <t>H-13</t>
  </si>
  <si>
    <t>New Blue Area</t>
  </si>
  <si>
    <t>Total Scope DC</t>
  </si>
  <si>
    <t>Bahria Phase 8 Sector B</t>
  </si>
  <si>
    <t>25 DC</t>
  </si>
  <si>
    <t>Bahria Phase 8 Sector C</t>
  </si>
  <si>
    <t>23 DC</t>
  </si>
  <si>
    <t>Bahria Phase 8 Sector D</t>
  </si>
  <si>
    <t>22 DC</t>
  </si>
  <si>
    <t>0 DC</t>
  </si>
  <si>
    <t>Bahria Phase 8 Sector F-8/2</t>
  </si>
  <si>
    <t>41 DC</t>
  </si>
  <si>
    <t>30 DC</t>
  </si>
  <si>
    <t>Bahria Phase 8 Sector F-8/3</t>
  </si>
  <si>
    <t>33 DC</t>
  </si>
  <si>
    <t>10 DC</t>
  </si>
  <si>
    <t>8 DC</t>
  </si>
  <si>
    <t>DHA-4</t>
  </si>
  <si>
    <t>51 DC</t>
  </si>
  <si>
    <t>PWD</t>
  </si>
  <si>
    <t>4 DC</t>
  </si>
  <si>
    <t xml:space="preserve">G-8 Markaz </t>
  </si>
  <si>
    <t>11 DC</t>
  </si>
  <si>
    <t>I-8/4</t>
  </si>
  <si>
    <t>As-builts Received</t>
  </si>
  <si>
    <t>Total Scope (km)</t>
  </si>
  <si>
    <t>6 (km)</t>
  </si>
  <si>
    <t>11 (km)</t>
  </si>
  <si>
    <t>16 (km)</t>
  </si>
  <si>
    <t>10 (km)</t>
  </si>
  <si>
    <t>14 (km)</t>
  </si>
  <si>
    <t>52 (km)</t>
  </si>
  <si>
    <t>Project Name</t>
  </si>
  <si>
    <t>Sr.#</t>
  </si>
  <si>
    <t>Sr #</t>
  </si>
  <si>
    <t>I-10/1</t>
  </si>
  <si>
    <t>12 DC</t>
  </si>
  <si>
    <t xml:space="preserve">BahriaPhase 8 Overses 3  </t>
  </si>
  <si>
    <t xml:space="preserve">Bahria Phase 8 Overses7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</si>
</sst>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workbookViewId="0">
      <selection activeCell="D18" sqref="D18"/>
    </sheetView>
  </sheetViews>
  <sheetFormatPr defaultRowHeight="14.5" x14ac:dyDescent="0.35"/>
  <cols>
    <col min="1" max="1" width="3.36328125" customWidth="1"/>
    <col min="2" max="2" width="25.7265625" customWidth="1"/>
    <col min="3" max="4" width="21" customWidth="1"/>
    <col min="5" max="5" width="31.54296875" customWidth="1"/>
    <col min="6" max="6" width="14.6328125" customWidth="1"/>
  </cols>
  <sheetData>
    <row r="1" spans="1:6" x14ac:dyDescent="0.35">
      <c r="A1" s="4" t="s">
        <v>40</v>
      </c>
      <c r="B1" s="1" t="s">
        <v>39</v>
      </c>
      <c r="C1" s="1" t="s">
        <v>9</v>
      </c>
      <c r="D1" s="1" t="s">
        <v>31</v>
      </c>
      <c r="E1" s="1" t="s">
        <v>0</v>
      </c>
      <c r="F1" s="1" t="s">
        <v>1</v>
      </c>
    </row>
    <row r="2" spans="1:6" ht="16" customHeight="1" x14ac:dyDescent="0.35">
      <c r="A2" s="5">
        <v>1</v>
      </c>
      <c r="B2" s="5" t="s">
        <v>10</v>
      </c>
      <c r="C2" s="5" t="s">
        <v>11</v>
      </c>
      <c r="D2" s="5" t="s">
        <v>11</v>
      </c>
      <c r="E2" s="5" t="str">
        <f>ROUND(VALUE(LEFT(D2,FIND(" ",D2)-1))/VALUE(LEFT(C2,FIND(" ",C2)-1))*100,0)&amp;"%"</f>
        <v>100%</v>
      </c>
      <c r="F2" s="5" t="s">
        <v>3</v>
      </c>
    </row>
    <row r="3" spans="1:6" x14ac:dyDescent="0.35">
      <c r="A3" s="5">
        <v>2</v>
      </c>
      <c r="B3" s="5" t="s">
        <v>12</v>
      </c>
      <c r="C3" s="5" t="s">
        <v>13</v>
      </c>
      <c r="D3" s="5" t="s">
        <v>13</v>
      </c>
      <c r="E3" s="5" t="str">
        <f>ROUND(VALUE(LEFT(D3,FIND(" ",D3)-1))/VALUE(LEFT(C3,FIND(" ",C3)-1))*100,0)&amp;"%"</f>
        <v>100%</v>
      </c>
      <c r="F3" s="5" t="s">
        <v>3</v>
      </c>
    </row>
    <row r="4" spans="1:6" x14ac:dyDescent="0.35">
      <c r="A4" s="5">
        <v>3</v>
      </c>
      <c r="B4" s="5" t="s">
        <v>14</v>
      </c>
      <c r="C4" s="5" t="s">
        <v>15</v>
      </c>
      <c r="D4" s="5" t="s">
        <v>43</v>
      </c>
      <c r="E4" s="5" t="str">
        <f t="shared" ref="E4:E14" si="0">ROUND(VALUE(LEFT(D4,FIND(" ",D4)-1))/VALUE(LEFT(C4,FIND(" ",C4)-1))*100,0)&amp;"%"</f>
        <v>55%</v>
      </c>
      <c r="F4" s="5" t="s">
        <v>6</v>
      </c>
    </row>
    <row r="5" spans="1:6" x14ac:dyDescent="0.35">
      <c r="A5" s="5">
        <v>4</v>
      </c>
      <c r="B5" s="5" t="s">
        <v>17</v>
      </c>
      <c r="C5" s="5" t="s">
        <v>18</v>
      </c>
      <c r="D5" s="5" t="s">
        <v>19</v>
      </c>
      <c r="E5" s="5" t="str">
        <f t="shared" si="0"/>
        <v>73%</v>
      </c>
      <c r="F5" s="5" t="s">
        <v>6</v>
      </c>
    </row>
    <row r="6" spans="1:6" x14ac:dyDescent="0.35">
      <c r="A6" s="5">
        <v>5</v>
      </c>
      <c r="B6" s="5" t="s">
        <v>20</v>
      </c>
      <c r="C6" s="5" t="s">
        <v>21</v>
      </c>
      <c r="D6" s="5" t="s">
        <v>22</v>
      </c>
      <c r="E6" s="5" t="str">
        <f t="shared" si="0"/>
        <v>30%</v>
      </c>
      <c r="F6" s="5" t="s">
        <v>6</v>
      </c>
    </row>
    <row r="7" spans="1:6" x14ac:dyDescent="0.35">
      <c r="A7" s="5">
        <v>6</v>
      </c>
      <c r="B7" s="5" t="s">
        <v>44</v>
      </c>
      <c r="C7" s="5" t="s">
        <v>22</v>
      </c>
      <c r="D7" s="5" t="s">
        <v>16</v>
      </c>
      <c r="E7" s="5" t="str">
        <f t="shared" si="0"/>
        <v>0%</v>
      </c>
      <c r="F7" s="5" t="s">
        <v>6</v>
      </c>
    </row>
    <row r="8" spans="1:6" x14ac:dyDescent="0.35">
      <c r="A8" s="5">
        <v>7</v>
      </c>
      <c r="B8" s="5" t="s">
        <v>45</v>
      </c>
      <c r="C8" s="5" t="s">
        <v>23</v>
      </c>
      <c r="D8" s="5" t="s">
        <v>16</v>
      </c>
      <c r="E8" s="5" t="str">
        <f t="shared" si="0"/>
        <v>0%</v>
      </c>
      <c r="F8" s="5" t="s">
        <v>6</v>
      </c>
    </row>
    <row r="9" spans="1:6" x14ac:dyDescent="0.35">
      <c r="A9" s="5">
        <v>8</v>
      </c>
      <c r="B9" s="5" t="s">
        <v>24</v>
      </c>
      <c r="C9" s="5" t="s">
        <v>25</v>
      </c>
      <c r="D9" s="5" t="s">
        <v>13</v>
      </c>
      <c r="E9" s="5" t="str">
        <f t="shared" si="0"/>
        <v>45%</v>
      </c>
      <c r="F9" s="5" t="s">
        <v>3</v>
      </c>
    </row>
    <row r="10" spans="1:6" x14ac:dyDescent="0.35">
      <c r="A10" s="5">
        <v>9</v>
      </c>
      <c r="B10" s="5" t="s">
        <v>7</v>
      </c>
      <c r="C10" s="5" t="s">
        <v>23</v>
      </c>
      <c r="D10" s="5" t="s">
        <v>16</v>
      </c>
      <c r="E10" s="5" t="str">
        <f t="shared" si="0"/>
        <v>0%</v>
      </c>
      <c r="F10" s="5" t="s">
        <v>6</v>
      </c>
    </row>
    <row r="11" spans="1:6" x14ac:dyDescent="0.35">
      <c r="A11" s="5">
        <v>10</v>
      </c>
      <c r="B11" s="5" t="s">
        <v>26</v>
      </c>
      <c r="C11" s="5" t="s">
        <v>27</v>
      </c>
      <c r="D11" s="5" t="s">
        <v>27</v>
      </c>
      <c r="E11" s="5" t="str">
        <f t="shared" si="0"/>
        <v>100%</v>
      </c>
      <c r="F11" s="5" t="s">
        <v>3</v>
      </c>
    </row>
    <row r="12" spans="1:6" x14ac:dyDescent="0.35">
      <c r="A12" s="5">
        <v>11</v>
      </c>
      <c r="B12" s="5" t="s">
        <v>28</v>
      </c>
      <c r="C12" s="5" t="s">
        <v>29</v>
      </c>
      <c r="D12" s="5" t="s">
        <v>29</v>
      </c>
      <c r="E12" s="5" t="str">
        <f t="shared" si="0"/>
        <v>100%</v>
      </c>
      <c r="F12" s="5" t="s">
        <v>3</v>
      </c>
    </row>
    <row r="13" spans="1:6" x14ac:dyDescent="0.35">
      <c r="A13" s="5">
        <v>12</v>
      </c>
      <c r="B13" s="5" t="s">
        <v>30</v>
      </c>
      <c r="C13" s="5" t="s">
        <v>13</v>
      </c>
      <c r="D13" s="5" t="s">
        <v>16</v>
      </c>
      <c r="E13" s="5" t="str">
        <f t="shared" si="0"/>
        <v>0%</v>
      </c>
      <c r="F13" s="5" t="s">
        <v>6</v>
      </c>
    </row>
    <row r="14" spans="1:6" x14ac:dyDescent="0.35">
      <c r="A14" s="5">
        <v>13</v>
      </c>
      <c r="B14" s="6" t="s">
        <v>42</v>
      </c>
      <c r="C14" s="6" t="s">
        <v>15</v>
      </c>
      <c r="D14" s="6" t="s">
        <v>16</v>
      </c>
      <c r="E14" s="5" t="str">
        <f t="shared" si="0"/>
        <v>0%</v>
      </c>
      <c r="F14" s="6" t="s">
        <v>6</v>
      </c>
    </row>
  </sheetData>
  <autoFilter ref="A1:F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>
      <selection activeCell="C10" sqref="C10"/>
    </sheetView>
  </sheetViews>
  <sheetFormatPr defaultRowHeight="14.5" x14ac:dyDescent="0.35"/>
  <cols>
    <col min="1" max="1" width="3.90625" style="3" customWidth="1"/>
    <col min="2" max="2" width="46.36328125" style="3" bestFit="1" customWidth="1"/>
    <col min="3" max="3" width="16.6328125" style="3" customWidth="1"/>
    <col min="4" max="4" width="30" style="3" customWidth="1"/>
    <col min="5" max="5" width="20.36328125" style="3" customWidth="1"/>
    <col min="6" max="6" width="12.1796875" style="3" customWidth="1"/>
  </cols>
  <sheetData>
    <row r="1" spans="1:6" x14ac:dyDescent="0.35">
      <c r="A1" s="2" t="s">
        <v>41</v>
      </c>
      <c r="B1" s="2" t="s">
        <v>39</v>
      </c>
      <c r="C1" s="2" t="s">
        <v>32</v>
      </c>
      <c r="D1" s="2" t="s">
        <v>31</v>
      </c>
      <c r="E1" s="2" t="s">
        <v>0</v>
      </c>
      <c r="F1" s="2" t="s">
        <v>1</v>
      </c>
    </row>
    <row r="2" spans="1:6" x14ac:dyDescent="0.35">
      <c r="A2" s="5">
        <v>1</v>
      </c>
      <c r="B2" s="5" t="s">
        <v>2</v>
      </c>
      <c r="C2" s="5" t="s">
        <v>33</v>
      </c>
      <c r="D2" s="5" t="s">
        <v>33</v>
      </c>
      <c r="E2" s="7" t="str">
        <f>ROUND(VALUE(LEFT(D2,FIND(" ",D2)-1))/VALUE(LEFT(C2,FIND(" ",C2)-1))*100,0)&amp;"%"</f>
        <v>100%</v>
      </c>
      <c r="F2" s="5" t="s">
        <v>3</v>
      </c>
    </row>
    <row r="3" spans="1:6" x14ac:dyDescent="0.35">
      <c r="A3" s="5">
        <v>2</v>
      </c>
      <c r="B3" s="5" t="s">
        <v>4</v>
      </c>
      <c r="C3" s="5" t="s">
        <v>34</v>
      </c>
      <c r="D3" s="5" t="s">
        <v>34</v>
      </c>
      <c r="E3" s="7" t="str">
        <f t="shared" ref="E3:E6" si="0">ROUND(VALUE(LEFT(D3,FIND(" ",D3)-1))/VALUE(LEFT(C3,FIND(" ",C3)-1))*100,0)&amp;"%"</f>
        <v>100%</v>
      </c>
      <c r="F3" s="5" t="s">
        <v>3</v>
      </c>
    </row>
    <row r="4" spans="1:6" x14ac:dyDescent="0.35">
      <c r="A4" s="5">
        <v>3</v>
      </c>
      <c r="B4" s="5" t="s">
        <v>5</v>
      </c>
      <c r="C4" s="5" t="s">
        <v>38</v>
      </c>
      <c r="D4" s="5" t="s">
        <v>35</v>
      </c>
      <c r="E4" s="7" t="str">
        <f t="shared" si="0"/>
        <v>31%</v>
      </c>
      <c r="F4" s="5" t="s">
        <v>6</v>
      </c>
    </row>
    <row r="5" spans="1:6" x14ac:dyDescent="0.35">
      <c r="A5" s="5">
        <v>4</v>
      </c>
      <c r="B5" s="5" t="s">
        <v>7</v>
      </c>
      <c r="C5" s="5" t="s">
        <v>36</v>
      </c>
      <c r="D5" s="5" t="s">
        <v>36</v>
      </c>
      <c r="E5" s="7" t="str">
        <f t="shared" si="0"/>
        <v>100%</v>
      </c>
      <c r="F5" s="5" t="s">
        <v>3</v>
      </c>
    </row>
    <row r="6" spans="1:6" x14ac:dyDescent="0.35">
      <c r="A6" s="5">
        <v>5</v>
      </c>
      <c r="B6" s="5" t="s">
        <v>8</v>
      </c>
      <c r="C6" s="5" t="s">
        <v>37</v>
      </c>
      <c r="D6" s="5" t="s">
        <v>37</v>
      </c>
      <c r="E6" s="7" t="str">
        <f t="shared" si="0"/>
        <v>100%</v>
      </c>
      <c r="F6" s="5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Distribution</vt:lpstr>
      <vt:lpstr>Feeder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Hasaan Shafeeq</cp:lastModifiedBy>
  <dcterms:created xsi:type="dcterms:W3CDTF">2026-07-20T09:06:55Z</dcterms:created>
  <dcterms:modified xsi:type="dcterms:W3CDTF">2026-07-28T05:53:40Z</dcterms:modified>
</cp:coreProperties>
</file>